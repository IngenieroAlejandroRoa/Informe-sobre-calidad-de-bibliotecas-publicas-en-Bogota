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aliss\Documents\"/>
    </mc:Choice>
  </mc:AlternateContent>
  <xr:revisionPtr revIDLastSave="0" documentId="8_{22F87949-1389-462D-8693-6125CFD499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3" i="2" l="1"/>
  <c r="Z33" i="2"/>
  <c r="V33" i="2"/>
  <c r="R33" i="2"/>
  <c r="AD32" i="2"/>
  <c r="Z32" i="2"/>
  <c r="V32" i="2"/>
  <c r="R32" i="2"/>
  <c r="AD31" i="2"/>
  <c r="Z31" i="2"/>
  <c r="V31" i="2"/>
  <c r="R31" i="2"/>
  <c r="AD30" i="2"/>
  <c r="Z30" i="2"/>
  <c r="V30" i="2"/>
  <c r="R30" i="2"/>
  <c r="AD29" i="2"/>
  <c r="Z29" i="2"/>
  <c r="V29" i="2"/>
  <c r="R29" i="2"/>
  <c r="AD28" i="2"/>
  <c r="Z28" i="2"/>
  <c r="V28" i="2"/>
  <c r="R28" i="2"/>
  <c r="AD13" i="2"/>
  <c r="Z13" i="2"/>
  <c r="V13" i="2"/>
  <c r="R13" i="2"/>
  <c r="AD2" i="2"/>
  <c r="Z2" i="2"/>
  <c r="V2" i="2"/>
  <c r="R2" i="2"/>
</calcChain>
</file>

<file path=xl/sharedStrings.xml><?xml version="1.0" encoding="utf-8"?>
<sst xmlns="http://schemas.openxmlformats.org/spreadsheetml/2006/main" count="440" uniqueCount="59">
  <si>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</si>
  <si>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</si>
  <si>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</si>
  <si>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</si>
  <si>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</si>
  <si>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</si>
  <si>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</si>
  <si>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</si>
  <si>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</si>
  <si>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</si>
  <si>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</si>
  <si>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</si>
  <si>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</si>
  <si>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</si>
  <si>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</si>
  <si>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</si>
  <si>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</si>
  <si>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</si>
  <si>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</si>
  <si>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</si>
  <si>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</si>
  <si>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</si>
  <si>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</si>
  <si>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</si>
  <si>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</si>
  <si>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</si>
  <si>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</si>
  <si>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</si>
  <si>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</si>
  <si>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</si>
  <si>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 xml:space="preserve">Samsung Galaxy A26 5G </t>
  </si>
  <si>
    <t>Lux</t>
  </si>
  <si>
    <t>Decibel X</t>
  </si>
  <si>
    <t>Speedtest de Ookla</t>
  </si>
  <si>
    <t>Biblioteca Pública Virgilio Barco </t>
  </si>
  <si>
    <t>Teusaquillo</t>
  </si>
  <si>
    <t>Avenida Carrera 60 # 57-60</t>
  </si>
  <si>
    <t>Entrada</t>
  </si>
  <si>
    <t>N</t>
  </si>
  <si>
    <t>Internet publico</t>
  </si>
  <si>
    <t>Avenida Carrera 60 # 57-61</t>
  </si>
  <si>
    <t>Sonoteca area computadores</t>
  </si>
  <si>
    <t>-</t>
  </si>
  <si>
    <t>Area de lectura</t>
  </si>
  <si>
    <t>Avenida Carrera 60 # 57-62</t>
  </si>
  <si>
    <t>Avenida Carrera 60 # 57-63</t>
  </si>
  <si>
    <t>Sala general de lectura P2</t>
  </si>
  <si>
    <t>Avenida Carrera 60 # 57-64</t>
  </si>
  <si>
    <t>Salon Infantil</t>
  </si>
  <si>
    <t>S</t>
  </si>
  <si>
    <t>Evento dibujo</t>
  </si>
  <si>
    <t>Avenida Carrera 60 # 57-65</t>
  </si>
  <si>
    <t>Sala de tareas</t>
  </si>
  <si>
    <t>Persona dormida sofa</t>
  </si>
  <si>
    <t>Avenida Carrera 60 # 57-66</t>
  </si>
  <si>
    <t>Cafeteria</t>
  </si>
  <si>
    <t>Avenida Carrera 60 # 57-67</t>
  </si>
  <si>
    <t>Galeria de Exposiciones</t>
  </si>
  <si>
    <t>Clase salsa intemedia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</si>
</sst>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FC9D-E34A-4F74-8798-5A4B718C1BED}">
  <dimension ref="A1:AD43"/>
  <sheetViews>
    <sheetView tabSelected="1" topLeftCell="A36" zoomScale="56" workbookViewId="0">
      <selection activeCell="J48" sqref="J48"/>
    </sheetView>
  </sheetViews>
  <sheetFormatPr defaultColWidth="11.42578125" defaultRowHeight="14.45"/>
  <cols>
    <col min="6" max="6" width="16.7109375" customWidth="1"/>
  </cols>
  <sheetData>
    <row r="1" spans="1:30" ht="43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57.6">
      <c r="A2" s="4">
        <v>1</v>
      </c>
      <c r="B2" s="3" t="s">
        <v>30</v>
      </c>
      <c r="C2" s="2" t="s">
        <v>31</v>
      </c>
      <c r="D2" s="2" t="s">
        <v>32</v>
      </c>
      <c r="E2" s="2" t="s">
        <v>33</v>
      </c>
      <c r="F2" s="5">
        <v>46067</v>
      </c>
      <c r="G2" s="6">
        <v>0.39583333333333331</v>
      </c>
      <c r="H2" s="2" t="s">
        <v>34</v>
      </c>
      <c r="I2" s="2" t="s">
        <v>35</v>
      </c>
      <c r="J2" s="2" t="s">
        <v>36</v>
      </c>
      <c r="K2" s="2" t="s">
        <v>37</v>
      </c>
      <c r="L2" s="3">
        <v>4</v>
      </c>
      <c r="M2" s="2" t="s">
        <v>38</v>
      </c>
      <c r="N2" s="2" t="s">
        <v>39</v>
      </c>
      <c r="O2" s="3">
        <v>74</v>
      </c>
      <c r="P2" s="3">
        <v>117</v>
      </c>
      <c r="Q2" s="3">
        <v>26</v>
      </c>
      <c r="R2" s="7">
        <f t="shared" ref="R2" si="0">IF(COUNTA(O2:Q2)=0,"",AVERAGE(O2:Q2))</f>
        <v>72.333333333333329</v>
      </c>
      <c r="S2" s="3">
        <v>64.099999999999994</v>
      </c>
      <c r="T2" s="3">
        <v>62</v>
      </c>
      <c r="U2" s="3">
        <v>64.7</v>
      </c>
      <c r="V2" s="7">
        <f t="shared" ref="V2" si="1">IF(COUNTA(S2:U2)=0,"",AVERAGE(S2:U2))</f>
        <v>63.6</v>
      </c>
      <c r="W2" s="3">
        <v>171</v>
      </c>
      <c r="X2" s="3">
        <v>0</v>
      </c>
      <c r="Y2" s="3">
        <v>150</v>
      </c>
      <c r="Z2" s="7">
        <f t="shared" ref="Z2" si="2">IF(COUNTA(W2:Y2)=0,"",MEDIAN(W2:Y2))</f>
        <v>150</v>
      </c>
      <c r="AA2" s="3">
        <v>119</v>
      </c>
      <c r="AB2" s="3">
        <v>142</v>
      </c>
      <c r="AC2" s="3">
        <v>126</v>
      </c>
      <c r="AD2" s="7">
        <f t="shared" ref="AD2" si="3">IF(COUNTA(AA2:AC2)=0,"",MEDIAN(AA2:AC2))</f>
        <v>126</v>
      </c>
    </row>
    <row r="3" spans="1:30" ht="57.6">
      <c r="A3" s="4">
        <v>2</v>
      </c>
      <c r="B3" s="3" t="s">
        <v>30</v>
      </c>
      <c r="C3" s="2" t="s">
        <v>31</v>
      </c>
      <c r="D3" s="2" t="s">
        <v>32</v>
      </c>
      <c r="E3" s="2" t="s">
        <v>33</v>
      </c>
      <c r="F3" s="5">
        <v>46067</v>
      </c>
      <c r="G3" s="6">
        <v>0.40416666666666667</v>
      </c>
      <c r="H3" s="2" t="s">
        <v>34</v>
      </c>
      <c r="I3" s="2" t="s">
        <v>35</v>
      </c>
      <c r="J3" s="2" t="s">
        <v>36</v>
      </c>
      <c r="K3" s="2" t="s">
        <v>37</v>
      </c>
      <c r="L3" s="3">
        <v>4</v>
      </c>
      <c r="M3" s="2" t="s">
        <v>38</v>
      </c>
      <c r="N3" s="2"/>
      <c r="O3" s="3">
        <v>80</v>
      </c>
      <c r="P3" s="3">
        <v>81</v>
      </c>
      <c r="Q3" s="3">
        <v>84</v>
      </c>
      <c r="R3" s="7">
        <v>81.666666666666671</v>
      </c>
      <c r="S3" s="3">
        <v>58.1</v>
      </c>
      <c r="T3" s="3">
        <v>58.4</v>
      </c>
      <c r="U3" s="3">
        <v>57.5</v>
      </c>
      <c r="V3" s="7">
        <v>58</v>
      </c>
      <c r="W3" s="3">
        <v>166.01</v>
      </c>
      <c r="X3" s="3">
        <v>165.81</v>
      </c>
      <c r="Y3" s="3">
        <v>164.38</v>
      </c>
      <c r="Z3" s="7">
        <v>165.81</v>
      </c>
      <c r="AA3" s="3">
        <v>132.96</v>
      </c>
      <c r="AB3" s="3">
        <v>131.63999999999999</v>
      </c>
      <c r="AC3" s="3">
        <v>128.97999999999999</v>
      </c>
      <c r="AD3" s="7">
        <v>131.63999999999999</v>
      </c>
    </row>
    <row r="4" spans="1:30" ht="57.6">
      <c r="A4" s="4">
        <v>3</v>
      </c>
      <c r="B4" s="3" t="s">
        <v>30</v>
      </c>
      <c r="C4" s="2" t="s">
        <v>31</v>
      </c>
      <c r="D4" s="2" t="s">
        <v>32</v>
      </c>
      <c r="E4" s="2" t="s">
        <v>33</v>
      </c>
      <c r="F4" s="5">
        <v>46067</v>
      </c>
      <c r="G4" s="6">
        <v>0.40972222222222221</v>
      </c>
      <c r="H4" s="2" t="s">
        <v>34</v>
      </c>
      <c r="I4" s="2" t="s">
        <v>35</v>
      </c>
      <c r="J4" s="2" t="s">
        <v>36</v>
      </c>
      <c r="K4" s="2" t="s">
        <v>37</v>
      </c>
      <c r="L4" s="3">
        <v>1</v>
      </c>
      <c r="M4" s="2" t="s">
        <v>38</v>
      </c>
      <c r="N4" s="2"/>
      <c r="O4" s="3">
        <v>76</v>
      </c>
      <c r="P4" s="3">
        <v>80</v>
      </c>
      <c r="Q4" s="3">
        <v>77</v>
      </c>
      <c r="R4" s="7">
        <v>77.666666666666671</v>
      </c>
      <c r="S4" s="3">
        <v>67.599999999999994</v>
      </c>
      <c r="T4" s="3">
        <v>67.599999999999994</v>
      </c>
      <c r="U4" s="3">
        <v>68.5</v>
      </c>
      <c r="V4" s="7">
        <v>67.899999999999991</v>
      </c>
      <c r="W4" s="3">
        <v>160.97999999999999</v>
      </c>
      <c r="X4" s="3">
        <v>161.08000000000001</v>
      </c>
      <c r="Y4" s="3">
        <v>161.11000000000001</v>
      </c>
      <c r="Z4" s="7">
        <v>161.08000000000001</v>
      </c>
      <c r="AA4" s="3">
        <v>129.36000000000001</v>
      </c>
      <c r="AB4" s="3">
        <v>124.26</v>
      </c>
      <c r="AC4" s="3">
        <v>124.05</v>
      </c>
      <c r="AD4" s="7">
        <v>124.26</v>
      </c>
    </row>
    <row r="5" spans="1:30" ht="57.6">
      <c r="A5" s="4"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5">
        <v>46067</v>
      </c>
      <c r="G5" s="6">
        <v>0.41319444444444442</v>
      </c>
      <c r="H5" s="3" t="s">
        <v>34</v>
      </c>
      <c r="I5" s="3" t="s">
        <v>35</v>
      </c>
      <c r="J5" s="3" t="s">
        <v>36</v>
      </c>
      <c r="K5" s="2" t="s">
        <v>37</v>
      </c>
      <c r="L5" s="3">
        <v>3</v>
      </c>
      <c r="M5" s="2" t="s">
        <v>38</v>
      </c>
      <c r="N5" s="2"/>
      <c r="O5" s="3">
        <v>84</v>
      </c>
      <c r="P5" s="3">
        <v>87</v>
      </c>
      <c r="Q5" s="3">
        <v>87</v>
      </c>
      <c r="R5" s="7">
        <v>86</v>
      </c>
      <c r="S5" s="3">
        <v>69.8</v>
      </c>
      <c r="T5" s="3">
        <v>68.599999999999994</v>
      </c>
      <c r="U5" s="3">
        <v>69.5</v>
      </c>
      <c r="V5" s="7">
        <v>69.3</v>
      </c>
      <c r="W5" s="3">
        <v>160.16</v>
      </c>
      <c r="X5" s="3">
        <v>160.37</v>
      </c>
      <c r="Y5" s="3">
        <v>161.66999999999999</v>
      </c>
      <c r="Z5" s="7">
        <v>160.37</v>
      </c>
      <c r="AA5" s="3">
        <v>122.25</v>
      </c>
      <c r="AB5" s="3">
        <v>123.16</v>
      </c>
      <c r="AC5" s="3">
        <v>121.93</v>
      </c>
      <c r="AD5" s="7">
        <v>122.25</v>
      </c>
    </row>
    <row r="6" spans="1:30" ht="57.6">
      <c r="A6" s="4"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5">
        <v>46067</v>
      </c>
      <c r="G6" s="6">
        <v>0.41805555555555557</v>
      </c>
      <c r="H6" s="3" t="s">
        <v>34</v>
      </c>
      <c r="I6" s="3" t="s">
        <v>35</v>
      </c>
      <c r="J6" s="3" t="s">
        <v>36</v>
      </c>
      <c r="K6" s="2" t="s">
        <v>37</v>
      </c>
      <c r="L6" s="3">
        <v>2</v>
      </c>
      <c r="M6" s="2" t="s">
        <v>38</v>
      </c>
      <c r="N6" s="2"/>
      <c r="O6" s="3">
        <v>84</v>
      </c>
      <c r="P6" s="3">
        <v>85</v>
      </c>
      <c r="Q6" s="3">
        <v>88</v>
      </c>
      <c r="R6" s="7">
        <v>85.666666666666671</v>
      </c>
      <c r="S6" s="3">
        <v>55.4</v>
      </c>
      <c r="T6" s="3">
        <v>57.3</v>
      </c>
      <c r="U6" s="3">
        <v>54.6</v>
      </c>
      <c r="V6" s="7">
        <v>55.766666666666659</v>
      </c>
      <c r="W6" s="3">
        <v>155</v>
      </c>
      <c r="X6" s="3">
        <v>159.22999999999999</v>
      </c>
      <c r="Y6" s="3">
        <v>160.07</v>
      </c>
      <c r="Z6" s="7">
        <v>159.22999999999999</v>
      </c>
      <c r="AA6" s="3">
        <v>125.07</v>
      </c>
      <c r="AB6" s="3">
        <v>125.23</v>
      </c>
      <c r="AC6" s="3">
        <v>122.95</v>
      </c>
      <c r="AD6" s="7">
        <v>125.07</v>
      </c>
    </row>
    <row r="7" spans="1:30" ht="57.6">
      <c r="A7" s="4">
        <v>6</v>
      </c>
      <c r="B7" s="3" t="s">
        <v>30</v>
      </c>
      <c r="C7" s="3" t="s">
        <v>31</v>
      </c>
      <c r="D7" s="3" t="s">
        <v>32</v>
      </c>
      <c r="E7" s="3" t="s">
        <v>33</v>
      </c>
      <c r="F7" s="5">
        <v>46067</v>
      </c>
      <c r="G7" s="6">
        <v>0.42291666666666666</v>
      </c>
      <c r="H7" s="3" t="s">
        <v>34</v>
      </c>
      <c r="I7" s="3" t="s">
        <v>35</v>
      </c>
      <c r="J7" s="3" t="s">
        <v>36</v>
      </c>
      <c r="K7" s="2" t="s">
        <v>37</v>
      </c>
      <c r="L7" s="3">
        <v>1</v>
      </c>
      <c r="M7" s="2" t="s">
        <v>38</v>
      </c>
      <c r="N7" s="2"/>
      <c r="O7" s="3">
        <v>85</v>
      </c>
      <c r="P7" s="3">
        <v>88</v>
      </c>
      <c r="Q7" s="3">
        <v>87</v>
      </c>
      <c r="R7" s="7">
        <v>86.666666666666671</v>
      </c>
      <c r="S7" s="3">
        <v>63.3</v>
      </c>
      <c r="T7" s="3">
        <v>62.2</v>
      </c>
      <c r="U7" s="3">
        <v>62.8</v>
      </c>
      <c r="V7" s="7">
        <v>62.766666666666673</v>
      </c>
      <c r="W7" s="3">
        <v>155.37</v>
      </c>
      <c r="X7" s="3">
        <v>153.5</v>
      </c>
      <c r="Y7" s="3">
        <v>155.04</v>
      </c>
      <c r="Z7" s="7">
        <v>155.04</v>
      </c>
      <c r="AA7" s="3">
        <v>119.01</v>
      </c>
      <c r="AB7" s="3">
        <v>119.61</v>
      </c>
      <c r="AC7" s="3">
        <v>119.57</v>
      </c>
      <c r="AD7" s="7">
        <v>119.57</v>
      </c>
    </row>
    <row r="8" spans="1:30" ht="57.6">
      <c r="A8" s="4">
        <v>7</v>
      </c>
      <c r="B8" s="3" t="s">
        <v>30</v>
      </c>
      <c r="C8" s="3" t="s">
        <v>31</v>
      </c>
      <c r="D8" s="3" t="s">
        <v>32</v>
      </c>
      <c r="E8" s="3" t="s">
        <v>33</v>
      </c>
      <c r="F8" s="5">
        <v>46067</v>
      </c>
      <c r="G8" s="6">
        <v>0.4284722222222222</v>
      </c>
      <c r="H8" s="3" t="s">
        <v>34</v>
      </c>
      <c r="I8" s="3" t="s">
        <v>35</v>
      </c>
      <c r="J8" s="3" t="s">
        <v>36</v>
      </c>
      <c r="K8" s="3" t="s">
        <v>37</v>
      </c>
      <c r="L8" s="3">
        <v>7</v>
      </c>
      <c r="M8" s="3" t="s">
        <v>38</v>
      </c>
      <c r="N8" s="2"/>
      <c r="O8" s="3">
        <v>73</v>
      </c>
      <c r="P8" s="3">
        <v>76</v>
      </c>
      <c r="Q8" s="3">
        <v>76</v>
      </c>
      <c r="R8" s="7">
        <v>75</v>
      </c>
      <c r="S8" s="3">
        <v>68</v>
      </c>
      <c r="T8" s="3">
        <v>67.2</v>
      </c>
      <c r="U8" s="3">
        <v>68.2</v>
      </c>
      <c r="V8" s="7">
        <v>67.8</v>
      </c>
      <c r="W8" s="3">
        <v>160.63999999999999</v>
      </c>
      <c r="X8" s="3">
        <v>158.93</v>
      </c>
      <c r="Y8" s="3">
        <v>159.32</v>
      </c>
      <c r="Z8" s="7">
        <v>159.32</v>
      </c>
      <c r="AA8" s="3">
        <v>125.44</v>
      </c>
      <c r="AB8" s="3">
        <v>125.33</v>
      </c>
      <c r="AC8" s="3">
        <v>123.89</v>
      </c>
      <c r="AD8" s="7">
        <v>125.33</v>
      </c>
    </row>
    <row r="9" spans="1:30" ht="57.6">
      <c r="A9" s="4">
        <v>8</v>
      </c>
      <c r="B9" s="3" t="s">
        <v>30</v>
      </c>
      <c r="C9" s="3" t="s">
        <v>31</v>
      </c>
      <c r="D9" s="3" t="s">
        <v>32</v>
      </c>
      <c r="E9" s="3" t="s">
        <v>33</v>
      </c>
      <c r="F9" s="5">
        <v>46067</v>
      </c>
      <c r="G9" s="6">
        <v>0.43472222222222223</v>
      </c>
      <c r="H9" s="3" t="s">
        <v>34</v>
      </c>
      <c r="I9" s="3" t="s">
        <v>35</v>
      </c>
      <c r="J9" s="3" t="s">
        <v>36</v>
      </c>
      <c r="K9" s="3" t="s">
        <v>37</v>
      </c>
      <c r="L9" s="3">
        <v>5</v>
      </c>
      <c r="M9" s="3" t="s">
        <v>38</v>
      </c>
      <c r="N9" s="2"/>
      <c r="O9" s="3">
        <v>70</v>
      </c>
      <c r="P9" s="3">
        <v>70</v>
      </c>
      <c r="Q9" s="3">
        <v>74</v>
      </c>
      <c r="R9" s="7">
        <v>71.333333333333329</v>
      </c>
      <c r="S9" s="3">
        <v>76.3</v>
      </c>
      <c r="T9" s="3">
        <v>76.5</v>
      </c>
      <c r="U9" s="3">
        <v>74.3</v>
      </c>
      <c r="V9" s="7">
        <v>75.7</v>
      </c>
      <c r="W9" s="3">
        <v>170.22</v>
      </c>
      <c r="X9" s="3">
        <v>169.28</v>
      </c>
      <c r="Y9" s="3">
        <v>166.15</v>
      </c>
      <c r="Z9" s="7">
        <v>169.28</v>
      </c>
      <c r="AA9" s="3">
        <v>126.99</v>
      </c>
      <c r="AB9" s="3">
        <v>128.46</v>
      </c>
      <c r="AC9" s="3">
        <v>128.03</v>
      </c>
      <c r="AD9" s="7">
        <v>128.03</v>
      </c>
    </row>
    <row r="10" spans="1:30" ht="57.6">
      <c r="A10" s="4">
        <v>9</v>
      </c>
      <c r="B10" s="3" t="s">
        <v>30</v>
      </c>
      <c r="C10" s="3" t="s">
        <v>31</v>
      </c>
      <c r="D10" s="3" t="s">
        <v>32</v>
      </c>
      <c r="E10" s="3" t="s">
        <v>33</v>
      </c>
      <c r="F10" s="5">
        <v>46067</v>
      </c>
      <c r="G10" s="6">
        <v>0.44027777777777777</v>
      </c>
      <c r="H10" s="3" t="s">
        <v>34</v>
      </c>
      <c r="I10" s="3" t="s">
        <v>35</v>
      </c>
      <c r="J10" s="3" t="s">
        <v>36</v>
      </c>
      <c r="K10" s="3" t="s">
        <v>37</v>
      </c>
      <c r="L10" s="3">
        <v>4</v>
      </c>
      <c r="M10" s="3" t="s">
        <v>38</v>
      </c>
      <c r="N10" s="2"/>
      <c r="O10" s="3">
        <v>67</v>
      </c>
      <c r="P10" s="3">
        <v>71</v>
      </c>
      <c r="Q10" s="3">
        <v>72</v>
      </c>
      <c r="R10" s="7">
        <v>70</v>
      </c>
      <c r="S10" s="3">
        <v>64.599999999999994</v>
      </c>
      <c r="T10" s="3">
        <v>64</v>
      </c>
      <c r="U10" s="3">
        <v>62.6</v>
      </c>
      <c r="V10" s="7">
        <v>63.733333333333327</v>
      </c>
      <c r="W10" s="3">
        <v>161.91999999999999</v>
      </c>
      <c r="X10" s="3">
        <v>0</v>
      </c>
      <c r="Y10" s="3">
        <v>158.19999999999999</v>
      </c>
      <c r="Z10" s="7">
        <v>161.91999999999999</v>
      </c>
      <c r="AA10" s="3">
        <v>135.09</v>
      </c>
      <c r="AB10" s="3">
        <v>132.69999999999999</v>
      </c>
      <c r="AC10" s="3">
        <v>133.22999999999999</v>
      </c>
      <c r="AD10" s="7">
        <v>133.22999999999999</v>
      </c>
    </row>
    <row r="11" spans="1:30" ht="57.6">
      <c r="A11" s="4">
        <v>10</v>
      </c>
      <c r="B11" s="3" t="s">
        <v>30</v>
      </c>
      <c r="C11" s="3" t="s">
        <v>31</v>
      </c>
      <c r="D11" s="3" t="s">
        <v>32</v>
      </c>
      <c r="E11" s="3" t="s">
        <v>33</v>
      </c>
      <c r="F11" s="5">
        <v>46067</v>
      </c>
      <c r="G11" s="6">
        <v>0.44444444444444442</v>
      </c>
      <c r="H11" s="3" t="s">
        <v>34</v>
      </c>
      <c r="I11" s="3" t="s">
        <v>35</v>
      </c>
      <c r="J11" s="3" t="s">
        <v>36</v>
      </c>
      <c r="K11" s="3" t="s">
        <v>37</v>
      </c>
      <c r="L11" s="3">
        <v>8</v>
      </c>
      <c r="M11" s="3" t="s">
        <v>38</v>
      </c>
      <c r="N11" s="2"/>
      <c r="O11" s="3">
        <v>73</v>
      </c>
      <c r="P11" s="3">
        <v>72</v>
      </c>
      <c r="Q11" s="3">
        <v>74</v>
      </c>
      <c r="R11" s="7">
        <v>73</v>
      </c>
      <c r="S11" s="3">
        <v>72.5</v>
      </c>
      <c r="T11" s="3">
        <v>72.900000000000006</v>
      </c>
      <c r="U11" s="3">
        <v>71.8</v>
      </c>
      <c r="V11" s="7">
        <v>72.399999999999991</v>
      </c>
      <c r="W11" s="3">
        <v>163.55000000000001</v>
      </c>
      <c r="X11" s="3">
        <v>162.02000000000001</v>
      </c>
      <c r="Y11" s="3">
        <v>165.39</v>
      </c>
      <c r="Z11" s="7">
        <v>163.55000000000001</v>
      </c>
      <c r="AA11" s="3">
        <v>132.30000000000001</v>
      </c>
      <c r="AB11" s="3">
        <v>136.22999999999999</v>
      </c>
      <c r="AC11" s="3">
        <v>134.28</v>
      </c>
      <c r="AD11" s="7">
        <v>134.28</v>
      </c>
    </row>
    <row r="12" spans="1:30" ht="57.6">
      <c r="A12" s="4">
        <v>11</v>
      </c>
      <c r="B12" s="3" t="s">
        <v>30</v>
      </c>
      <c r="C12" s="3" t="s">
        <v>31</v>
      </c>
      <c r="D12" s="3" t="s">
        <v>32</v>
      </c>
      <c r="E12" s="3" t="s">
        <v>33</v>
      </c>
      <c r="F12" s="5">
        <v>46067</v>
      </c>
      <c r="G12" s="6">
        <v>0.44791666666666669</v>
      </c>
      <c r="H12" s="3" t="s">
        <v>34</v>
      </c>
      <c r="I12" s="3" t="s">
        <v>35</v>
      </c>
      <c r="J12" s="3" t="s">
        <v>36</v>
      </c>
      <c r="K12" s="3" t="s">
        <v>37</v>
      </c>
      <c r="L12" s="3">
        <v>7</v>
      </c>
      <c r="M12" s="3" t="s">
        <v>38</v>
      </c>
      <c r="N12" s="2"/>
      <c r="O12" s="3">
        <v>76</v>
      </c>
      <c r="P12" s="3">
        <v>74</v>
      </c>
      <c r="Q12" s="3">
        <v>75</v>
      </c>
      <c r="R12" s="7">
        <v>75</v>
      </c>
      <c r="S12" s="3">
        <v>76.2</v>
      </c>
      <c r="T12" s="3">
        <v>75.3</v>
      </c>
      <c r="U12" s="3">
        <v>74</v>
      </c>
      <c r="V12" s="7">
        <v>75.166666666666671</v>
      </c>
      <c r="W12" s="3">
        <v>162.13</v>
      </c>
      <c r="X12" s="3">
        <v>164.22</v>
      </c>
      <c r="Y12" s="3">
        <v>161.72</v>
      </c>
      <c r="Z12" s="7">
        <v>162.13</v>
      </c>
      <c r="AA12" s="3">
        <v>116.8</v>
      </c>
      <c r="AB12" s="3">
        <v>118.76</v>
      </c>
      <c r="AC12" s="3">
        <v>120.45</v>
      </c>
      <c r="AD12" s="7">
        <v>118.76</v>
      </c>
    </row>
    <row r="13" spans="1:30" ht="57.6">
      <c r="A13" s="4">
        <v>12</v>
      </c>
      <c r="B13" s="3" t="s">
        <v>30</v>
      </c>
      <c r="C13" s="2" t="s">
        <v>31</v>
      </c>
      <c r="D13" s="2" t="s">
        <v>32</v>
      </c>
      <c r="E13" s="2" t="s">
        <v>33</v>
      </c>
      <c r="F13" s="5">
        <v>46067</v>
      </c>
      <c r="G13" s="6">
        <v>0.4513888888888889</v>
      </c>
      <c r="H13" s="2" t="s">
        <v>34</v>
      </c>
      <c r="I13" s="2" t="s">
        <v>35</v>
      </c>
      <c r="J13" s="2" t="s">
        <v>40</v>
      </c>
      <c r="K13" s="2" t="s">
        <v>41</v>
      </c>
      <c r="L13" s="3">
        <v>10</v>
      </c>
      <c r="M13" s="2" t="s">
        <v>38</v>
      </c>
      <c r="N13" s="2" t="s">
        <v>42</v>
      </c>
      <c r="O13" s="3">
        <v>240</v>
      </c>
      <c r="P13" s="3">
        <v>281</v>
      </c>
      <c r="Q13" s="3">
        <v>261</v>
      </c>
      <c r="R13" s="7">
        <f t="shared" ref="R13" si="4">IF(COUNTA(O13:Q13)=0,"",AVERAGE(O13:Q13))</f>
        <v>260.66666666666669</v>
      </c>
      <c r="S13" s="3">
        <v>48.2</v>
      </c>
      <c r="T13" s="3">
        <v>50.2</v>
      </c>
      <c r="U13" s="3">
        <v>50.7</v>
      </c>
      <c r="V13" s="7">
        <f t="shared" ref="V13" si="5">IF(COUNTA(S13:U13)=0,"",AVERAGE(S13:U13))</f>
        <v>49.70000000000001</v>
      </c>
      <c r="W13" s="3">
        <v>30.9</v>
      </c>
      <c r="X13" s="3">
        <v>8.42</v>
      </c>
      <c r="Y13" s="3">
        <v>6.44</v>
      </c>
      <c r="Z13" s="7">
        <f t="shared" ref="Z13" si="6">IF(COUNTA(W13:Y13)=0,"",MEDIAN(W13:Y13))</f>
        <v>8.42</v>
      </c>
      <c r="AA13" s="3">
        <v>42.9</v>
      </c>
      <c r="AB13" s="3">
        <v>53.1</v>
      </c>
      <c r="AC13" s="3">
        <v>43.3</v>
      </c>
      <c r="AD13" s="7">
        <f t="shared" ref="AD13" si="7">IF(COUNTA(AA13:AC13)=0,"",MEDIAN(AA13:AC13))</f>
        <v>43.3</v>
      </c>
    </row>
    <row r="14" spans="1:30" ht="57.6">
      <c r="A14" s="4">
        <v>13</v>
      </c>
      <c r="B14" s="3" t="s">
        <v>30</v>
      </c>
      <c r="C14" s="2" t="s">
        <v>31</v>
      </c>
      <c r="D14" s="2" t="s">
        <v>32</v>
      </c>
      <c r="E14" s="2" t="s">
        <v>33</v>
      </c>
      <c r="F14" s="5">
        <v>46067</v>
      </c>
      <c r="G14" s="6">
        <v>0.45833333333333331</v>
      </c>
      <c r="H14" s="2" t="s">
        <v>34</v>
      </c>
      <c r="I14" s="2" t="s">
        <v>35</v>
      </c>
      <c r="J14" s="2" t="s">
        <v>40</v>
      </c>
      <c r="K14" s="2" t="s">
        <v>43</v>
      </c>
      <c r="L14" s="3">
        <v>14</v>
      </c>
      <c r="M14" s="2" t="s">
        <v>38</v>
      </c>
      <c r="N14" s="2" t="s">
        <v>42</v>
      </c>
      <c r="O14" s="3">
        <v>465</v>
      </c>
      <c r="P14" s="3">
        <v>465</v>
      </c>
      <c r="Q14" s="3">
        <v>464</v>
      </c>
      <c r="R14" s="7">
        <v>464.66666666666669</v>
      </c>
      <c r="S14" s="3">
        <v>44.3</v>
      </c>
      <c r="T14" s="3">
        <v>44.7</v>
      </c>
      <c r="U14" s="3">
        <v>43.1</v>
      </c>
      <c r="V14" s="7">
        <v>44.033333333333331</v>
      </c>
      <c r="W14" s="3">
        <v>22.67</v>
      </c>
      <c r="X14" s="3">
        <v>22.92</v>
      </c>
      <c r="Y14" s="3">
        <v>23.57</v>
      </c>
      <c r="Z14" s="7">
        <v>22.92</v>
      </c>
      <c r="AA14" s="3">
        <v>72.599999999999994</v>
      </c>
      <c r="AB14" s="3">
        <v>69.989999999999995</v>
      </c>
      <c r="AC14" s="3">
        <v>71.05</v>
      </c>
      <c r="AD14" s="7">
        <v>71.05</v>
      </c>
    </row>
    <row r="15" spans="1:30" ht="57.6">
      <c r="A15" s="4">
        <v>14</v>
      </c>
      <c r="B15" s="3" t="s">
        <v>30</v>
      </c>
      <c r="C15" s="2" t="s">
        <v>31</v>
      </c>
      <c r="D15" s="2" t="s">
        <v>32</v>
      </c>
      <c r="E15" s="2" t="s">
        <v>33</v>
      </c>
      <c r="F15" s="5">
        <v>46067</v>
      </c>
      <c r="G15" s="6">
        <v>0.46319444444444446</v>
      </c>
      <c r="H15" s="2" t="s">
        <v>34</v>
      </c>
      <c r="I15" s="2" t="s">
        <v>35</v>
      </c>
      <c r="J15" s="2" t="s">
        <v>40</v>
      </c>
      <c r="K15" s="2" t="s">
        <v>43</v>
      </c>
      <c r="L15" s="3">
        <v>14</v>
      </c>
      <c r="M15" s="2" t="s">
        <v>38</v>
      </c>
      <c r="N15" s="2" t="s">
        <v>42</v>
      </c>
      <c r="O15" s="3">
        <v>458</v>
      </c>
      <c r="P15" s="3">
        <v>459</v>
      </c>
      <c r="Q15" s="3">
        <v>462</v>
      </c>
      <c r="R15" s="7">
        <v>459.66666666666669</v>
      </c>
      <c r="S15" s="3">
        <v>49.1</v>
      </c>
      <c r="T15" s="3">
        <v>51.2</v>
      </c>
      <c r="U15" s="3">
        <v>51</v>
      </c>
      <c r="V15" s="7">
        <v>50.433333333333337</v>
      </c>
      <c r="W15" s="3">
        <v>19.64</v>
      </c>
      <c r="X15" s="3">
        <v>17.940000000000001</v>
      </c>
      <c r="Y15" s="3">
        <v>20.98</v>
      </c>
      <c r="Z15" s="7">
        <v>19.64</v>
      </c>
      <c r="AA15" s="3">
        <v>67.31</v>
      </c>
      <c r="AB15" s="3">
        <v>68.84</v>
      </c>
      <c r="AC15" s="3">
        <v>68.42</v>
      </c>
      <c r="AD15" s="7">
        <v>68.42</v>
      </c>
    </row>
    <row r="16" spans="1:30" ht="57.6">
      <c r="A16" s="4">
        <v>15</v>
      </c>
      <c r="B16" s="3" t="s">
        <v>30</v>
      </c>
      <c r="C16" s="2" t="s">
        <v>31</v>
      </c>
      <c r="D16" s="2" t="s">
        <v>32</v>
      </c>
      <c r="E16" s="2" t="s">
        <v>33</v>
      </c>
      <c r="F16" s="5">
        <v>46067</v>
      </c>
      <c r="G16" s="6">
        <v>0.46875</v>
      </c>
      <c r="H16" s="2" t="s">
        <v>34</v>
      </c>
      <c r="I16" s="2" t="s">
        <v>35</v>
      </c>
      <c r="J16" s="2" t="s">
        <v>40</v>
      </c>
      <c r="K16" s="2" t="s">
        <v>43</v>
      </c>
      <c r="L16" s="3">
        <v>9</v>
      </c>
      <c r="M16" s="2" t="s">
        <v>38</v>
      </c>
      <c r="N16" s="2" t="s">
        <v>42</v>
      </c>
      <c r="O16" s="3">
        <v>463</v>
      </c>
      <c r="P16" s="3">
        <v>462</v>
      </c>
      <c r="Q16" s="3">
        <v>461</v>
      </c>
      <c r="R16" s="7">
        <v>462</v>
      </c>
      <c r="S16" s="3">
        <v>43.4</v>
      </c>
      <c r="T16" s="3">
        <v>40.799999999999997</v>
      </c>
      <c r="U16" s="3">
        <v>41.3</v>
      </c>
      <c r="V16" s="7">
        <v>41.833333333333329</v>
      </c>
      <c r="W16" s="3">
        <v>24.54</v>
      </c>
      <c r="X16" s="3">
        <v>25.62</v>
      </c>
      <c r="Y16" s="3">
        <v>23.64</v>
      </c>
      <c r="Z16" s="7">
        <v>24.54</v>
      </c>
      <c r="AA16" s="3">
        <v>71.77</v>
      </c>
      <c r="AB16" s="3">
        <v>70.06</v>
      </c>
      <c r="AC16" s="3">
        <v>67.56</v>
      </c>
      <c r="AD16" s="7">
        <v>70.06</v>
      </c>
    </row>
    <row r="17" spans="1:30" ht="57.6">
      <c r="A17" s="4">
        <v>16</v>
      </c>
      <c r="B17" s="3" t="s">
        <v>30</v>
      </c>
      <c r="C17" s="2" t="s">
        <v>31</v>
      </c>
      <c r="D17" s="2" t="s">
        <v>32</v>
      </c>
      <c r="E17" s="2" t="s">
        <v>33</v>
      </c>
      <c r="F17" s="5">
        <v>46067</v>
      </c>
      <c r="G17" s="6">
        <v>0.47430555555555598</v>
      </c>
      <c r="H17" s="2" t="s">
        <v>34</v>
      </c>
      <c r="I17" s="2" t="s">
        <v>35</v>
      </c>
      <c r="J17" s="2" t="s">
        <v>40</v>
      </c>
      <c r="K17" s="3" t="s">
        <v>43</v>
      </c>
      <c r="L17" s="3">
        <v>8</v>
      </c>
      <c r="M17" s="3" t="s">
        <v>38</v>
      </c>
      <c r="N17" s="3" t="s">
        <v>42</v>
      </c>
      <c r="O17" s="3">
        <v>464</v>
      </c>
      <c r="P17" s="3">
        <v>461</v>
      </c>
      <c r="Q17" s="3">
        <v>459</v>
      </c>
      <c r="R17" s="7">
        <v>461.33333333333331</v>
      </c>
      <c r="S17" s="3">
        <v>51.6</v>
      </c>
      <c r="T17" s="3">
        <v>50.5</v>
      </c>
      <c r="U17" s="3">
        <v>50.9</v>
      </c>
      <c r="V17" s="7">
        <v>51</v>
      </c>
      <c r="W17" s="3">
        <v>34.26</v>
      </c>
      <c r="X17" s="3">
        <v>35.200000000000003</v>
      </c>
      <c r="Y17" s="3">
        <v>37.619999999999997</v>
      </c>
      <c r="Z17" s="7">
        <v>35.200000000000003</v>
      </c>
      <c r="AA17" s="3">
        <v>84.28</v>
      </c>
      <c r="AB17" s="3">
        <v>83.65</v>
      </c>
      <c r="AC17" s="3">
        <v>81.900000000000006</v>
      </c>
      <c r="AD17" s="7">
        <v>83.65</v>
      </c>
    </row>
    <row r="18" spans="1:30" ht="57.6">
      <c r="A18" s="4">
        <v>17</v>
      </c>
      <c r="B18" s="3" t="s">
        <v>30</v>
      </c>
      <c r="C18" s="2" t="s">
        <v>31</v>
      </c>
      <c r="D18" s="2" t="s">
        <v>32</v>
      </c>
      <c r="E18" s="2" t="s">
        <v>33</v>
      </c>
      <c r="F18" s="5">
        <v>46067</v>
      </c>
      <c r="G18" s="6">
        <v>0.47986111111111102</v>
      </c>
      <c r="H18" s="2" t="s">
        <v>34</v>
      </c>
      <c r="I18" s="2" t="s">
        <v>35</v>
      </c>
      <c r="J18" s="2" t="s">
        <v>40</v>
      </c>
      <c r="K18" s="3" t="s">
        <v>43</v>
      </c>
      <c r="L18" s="3">
        <v>11</v>
      </c>
      <c r="M18" s="3" t="s">
        <v>38</v>
      </c>
      <c r="N18" s="3" t="s">
        <v>42</v>
      </c>
      <c r="O18" s="3">
        <v>461</v>
      </c>
      <c r="P18" s="3">
        <v>458</v>
      </c>
      <c r="Q18" s="3">
        <v>457</v>
      </c>
      <c r="R18" s="7">
        <v>458.66666666666669</v>
      </c>
      <c r="S18" s="3">
        <v>45.9</v>
      </c>
      <c r="T18" s="3">
        <v>46.1</v>
      </c>
      <c r="U18" s="3">
        <v>49</v>
      </c>
      <c r="V18" s="7">
        <v>47</v>
      </c>
      <c r="W18" s="3">
        <v>32.700000000000003</v>
      </c>
      <c r="X18" s="3">
        <v>36.020000000000003</v>
      </c>
      <c r="Y18" s="3">
        <v>32.53</v>
      </c>
      <c r="Z18" s="7">
        <v>32.700000000000003</v>
      </c>
      <c r="AA18" s="3">
        <v>71.91</v>
      </c>
      <c r="AB18" s="3">
        <v>70.819999999999993</v>
      </c>
      <c r="AC18" s="3">
        <v>69.739999999999995</v>
      </c>
      <c r="AD18" s="7">
        <v>70.819999999999993</v>
      </c>
    </row>
    <row r="19" spans="1:30" ht="57.6">
      <c r="A19" s="4">
        <v>18</v>
      </c>
      <c r="B19" s="3" t="s">
        <v>30</v>
      </c>
      <c r="C19" s="2" t="s">
        <v>31</v>
      </c>
      <c r="D19" s="2" t="s">
        <v>32</v>
      </c>
      <c r="E19" s="2" t="s">
        <v>33</v>
      </c>
      <c r="F19" s="5">
        <v>46067</v>
      </c>
      <c r="G19" s="6">
        <v>0.485416666666667</v>
      </c>
      <c r="H19" s="2" t="s">
        <v>34</v>
      </c>
      <c r="I19" s="2" t="s">
        <v>35</v>
      </c>
      <c r="J19" s="2" t="s">
        <v>40</v>
      </c>
      <c r="K19" s="3" t="s">
        <v>43</v>
      </c>
      <c r="L19" s="3">
        <v>14</v>
      </c>
      <c r="M19" s="3" t="s">
        <v>38</v>
      </c>
      <c r="N19" s="3" t="s">
        <v>42</v>
      </c>
      <c r="O19" s="3">
        <v>443</v>
      </c>
      <c r="P19" s="3">
        <v>436</v>
      </c>
      <c r="Q19" s="3">
        <v>439</v>
      </c>
      <c r="R19" s="7">
        <v>439.33333333333331</v>
      </c>
      <c r="S19" s="3">
        <v>51.2</v>
      </c>
      <c r="T19" s="3">
        <v>49</v>
      </c>
      <c r="U19" s="3">
        <v>52.1</v>
      </c>
      <c r="V19" s="7">
        <v>50.766666666666673</v>
      </c>
      <c r="W19" s="3">
        <v>26.6</v>
      </c>
      <c r="X19" s="3">
        <v>27.55</v>
      </c>
      <c r="Y19" s="3">
        <v>24.72</v>
      </c>
      <c r="Z19" s="7">
        <v>26.6</v>
      </c>
      <c r="AA19" s="3">
        <v>73.099999999999994</v>
      </c>
      <c r="AB19" s="3">
        <v>73.61</v>
      </c>
      <c r="AC19" s="3">
        <v>71.94</v>
      </c>
      <c r="AD19" s="7">
        <v>73.099999999999994</v>
      </c>
    </row>
    <row r="20" spans="1:30" ht="57.6">
      <c r="A20" s="4">
        <v>19</v>
      </c>
      <c r="B20" s="3" t="s">
        <v>30</v>
      </c>
      <c r="C20" s="2" t="s">
        <v>31</v>
      </c>
      <c r="D20" s="2" t="s">
        <v>32</v>
      </c>
      <c r="E20" s="2" t="s">
        <v>33</v>
      </c>
      <c r="F20" s="5">
        <v>46067</v>
      </c>
      <c r="G20" s="6">
        <v>0.49097222222222198</v>
      </c>
      <c r="H20" s="2" t="s">
        <v>34</v>
      </c>
      <c r="I20" s="2" t="s">
        <v>35</v>
      </c>
      <c r="J20" s="2" t="s">
        <v>40</v>
      </c>
      <c r="K20" s="3" t="s">
        <v>43</v>
      </c>
      <c r="L20" s="3">
        <v>16</v>
      </c>
      <c r="M20" s="3" t="s">
        <v>38</v>
      </c>
      <c r="N20" s="3" t="s">
        <v>42</v>
      </c>
      <c r="O20" s="3">
        <v>454</v>
      </c>
      <c r="P20" s="3">
        <v>455</v>
      </c>
      <c r="Q20" s="3">
        <v>451</v>
      </c>
      <c r="R20" s="7">
        <v>453.33333333333331</v>
      </c>
      <c r="S20" s="3">
        <v>44.7</v>
      </c>
      <c r="T20" s="3">
        <v>46.3</v>
      </c>
      <c r="U20" s="3">
        <v>44</v>
      </c>
      <c r="V20" s="7">
        <v>45</v>
      </c>
      <c r="W20" s="3">
        <v>23.12</v>
      </c>
      <c r="X20" s="3">
        <v>25.17</v>
      </c>
      <c r="Y20" s="3">
        <v>26.45</v>
      </c>
      <c r="Z20" s="7">
        <v>25.17</v>
      </c>
      <c r="AA20" s="3">
        <v>68.66</v>
      </c>
      <c r="AB20" s="3">
        <v>71.3</v>
      </c>
      <c r="AC20" s="3">
        <v>70.349999999999994</v>
      </c>
      <c r="AD20" s="7">
        <v>70.349999999999994</v>
      </c>
    </row>
    <row r="21" spans="1:30" ht="57.6">
      <c r="A21" s="4">
        <v>20</v>
      </c>
      <c r="B21" s="3" t="s">
        <v>30</v>
      </c>
      <c r="C21" s="2" t="s">
        <v>31</v>
      </c>
      <c r="D21" s="2" t="s">
        <v>32</v>
      </c>
      <c r="E21" s="2" t="s">
        <v>33</v>
      </c>
      <c r="F21" s="5">
        <v>46067</v>
      </c>
      <c r="G21" s="6">
        <v>0.49652777777777801</v>
      </c>
      <c r="H21" s="2" t="s">
        <v>34</v>
      </c>
      <c r="I21" s="2" t="s">
        <v>35</v>
      </c>
      <c r="J21" s="2" t="s">
        <v>40</v>
      </c>
      <c r="K21" s="3" t="s">
        <v>43</v>
      </c>
      <c r="L21" s="3">
        <v>9</v>
      </c>
      <c r="M21" s="3" t="s">
        <v>38</v>
      </c>
      <c r="N21" s="3" t="s">
        <v>42</v>
      </c>
      <c r="O21" s="3">
        <v>458</v>
      </c>
      <c r="P21" s="3">
        <v>454</v>
      </c>
      <c r="Q21" s="3">
        <v>455</v>
      </c>
      <c r="R21" s="7">
        <v>455.66666666666669</v>
      </c>
      <c r="S21" s="3">
        <v>62</v>
      </c>
      <c r="T21" s="3">
        <v>59.1</v>
      </c>
      <c r="U21" s="3">
        <v>59.5</v>
      </c>
      <c r="V21" s="7">
        <v>60.199999999999996</v>
      </c>
      <c r="W21" s="3">
        <v>21.27</v>
      </c>
      <c r="X21" s="3">
        <v>22.89</v>
      </c>
      <c r="Y21" s="3">
        <v>25.35</v>
      </c>
      <c r="Z21" s="7">
        <v>22.89</v>
      </c>
      <c r="AA21" s="3">
        <v>60.43</v>
      </c>
      <c r="AB21" s="3">
        <v>59.93</v>
      </c>
      <c r="AC21" s="3">
        <v>56.56</v>
      </c>
      <c r="AD21" s="7">
        <v>59.93</v>
      </c>
    </row>
    <row r="22" spans="1:30" ht="57.6">
      <c r="A22" s="4">
        <v>21</v>
      </c>
      <c r="B22" s="3" t="s">
        <v>30</v>
      </c>
      <c r="C22" s="2" t="s">
        <v>31</v>
      </c>
      <c r="D22" s="2" t="s">
        <v>32</v>
      </c>
      <c r="E22" s="2" t="s">
        <v>33</v>
      </c>
      <c r="F22" s="5">
        <v>46067</v>
      </c>
      <c r="G22" s="6">
        <v>0.50208333333333299</v>
      </c>
      <c r="H22" s="2" t="s">
        <v>34</v>
      </c>
      <c r="I22" s="2" t="s">
        <v>35</v>
      </c>
      <c r="J22" s="2" t="s">
        <v>40</v>
      </c>
      <c r="K22" s="3" t="s">
        <v>43</v>
      </c>
      <c r="L22" s="3">
        <v>16</v>
      </c>
      <c r="M22" s="3" t="s">
        <v>38</v>
      </c>
      <c r="N22" s="3" t="s">
        <v>42</v>
      </c>
      <c r="O22" s="3">
        <v>452</v>
      </c>
      <c r="P22" s="3">
        <v>453</v>
      </c>
      <c r="Q22" s="3">
        <v>452</v>
      </c>
      <c r="R22" s="7">
        <v>452.33333333333331</v>
      </c>
      <c r="S22" s="3">
        <v>47.3</v>
      </c>
      <c r="T22" s="3">
        <v>46</v>
      </c>
      <c r="U22" s="3">
        <v>46.6</v>
      </c>
      <c r="V22" s="7">
        <v>46.633333333333333</v>
      </c>
      <c r="W22" s="3">
        <v>28.19</v>
      </c>
      <c r="X22" s="3">
        <v>29.44</v>
      </c>
      <c r="Y22" s="3">
        <v>27.01</v>
      </c>
      <c r="Z22" s="7">
        <v>28.19</v>
      </c>
      <c r="AA22" s="3">
        <v>73.95</v>
      </c>
      <c r="AB22" s="3">
        <v>72.38</v>
      </c>
      <c r="AC22" s="3">
        <v>72.67</v>
      </c>
      <c r="AD22" s="7">
        <v>72.67</v>
      </c>
    </row>
    <row r="23" spans="1:30" ht="57.6">
      <c r="A23" s="4">
        <v>22</v>
      </c>
      <c r="B23" s="3" t="s">
        <v>30</v>
      </c>
      <c r="C23" s="2" t="s">
        <v>31</v>
      </c>
      <c r="D23" s="2" t="s">
        <v>32</v>
      </c>
      <c r="E23" s="2" t="s">
        <v>33</v>
      </c>
      <c r="F23" s="5">
        <v>46067</v>
      </c>
      <c r="G23" s="6">
        <v>0.51041666666666663</v>
      </c>
      <c r="H23" s="2" t="s">
        <v>34</v>
      </c>
      <c r="I23" s="2" t="s">
        <v>35</v>
      </c>
      <c r="J23" s="2" t="s">
        <v>40</v>
      </c>
      <c r="K23" s="3" t="s">
        <v>43</v>
      </c>
      <c r="L23" s="3">
        <v>12</v>
      </c>
      <c r="M23" s="3" t="s">
        <v>38</v>
      </c>
      <c r="N23" s="3" t="s">
        <v>42</v>
      </c>
      <c r="O23" s="3">
        <v>440</v>
      </c>
      <c r="P23" s="3">
        <v>443</v>
      </c>
      <c r="Q23" s="3">
        <v>441</v>
      </c>
      <c r="R23" s="7">
        <v>441.33333333333331</v>
      </c>
      <c r="S23" s="3">
        <v>42.8</v>
      </c>
      <c r="T23" s="3">
        <v>43.7</v>
      </c>
      <c r="U23" s="3">
        <v>43.9</v>
      </c>
      <c r="V23" s="7">
        <v>43.466666666666669</v>
      </c>
      <c r="W23" s="3">
        <v>17.95</v>
      </c>
      <c r="X23" s="3">
        <v>20.8</v>
      </c>
      <c r="Y23" s="3">
        <v>18.27</v>
      </c>
      <c r="Z23" s="7">
        <v>18.27</v>
      </c>
      <c r="AA23" s="3">
        <v>56.06</v>
      </c>
      <c r="AB23" s="3">
        <v>56.54</v>
      </c>
      <c r="AC23" s="3">
        <v>54.77</v>
      </c>
      <c r="AD23" s="7">
        <v>56.06</v>
      </c>
    </row>
    <row r="24" spans="1:30" ht="57.6">
      <c r="A24" s="4">
        <v>23</v>
      </c>
      <c r="B24" s="3" t="s">
        <v>30</v>
      </c>
      <c r="C24" s="2" t="s">
        <v>31</v>
      </c>
      <c r="D24" s="2" t="s">
        <v>32</v>
      </c>
      <c r="E24" s="2" t="s">
        <v>33</v>
      </c>
      <c r="F24" s="5">
        <v>46067</v>
      </c>
      <c r="G24" s="6">
        <v>0.51736111111111116</v>
      </c>
      <c r="H24" s="2" t="s">
        <v>34</v>
      </c>
      <c r="I24" s="2" t="s">
        <v>35</v>
      </c>
      <c r="J24" s="2" t="s">
        <v>40</v>
      </c>
      <c r="K24" s="3" t="s">
        <v>43</v>
      </c>
      <c r="L24" s="3">
        <v>12</v>
      </c>
      <c r="M24" s="3" t="s">
        <v>38</v>
      </c>
      <c r="N24" s="3" t="s">
        <v>42</v>
      </c>
      <c r="O24" s="3">
        <v>396</v>
      </c>
      <c r="P24" s="3">
        <v>401</v>
      </c>
      <c r="Q24" s="3">
        <v>398</v>
      </c>
      <c r="R24" s="7">
        <v>398.33333333333331</v>
      </c>
      <c r="S24" s="3">
        <v>46.8</v>
      </c>
      <c r="T24" s="3">
        <v>44.9</v>
      </c>
      <c r="U24" s="3">
        <v>44.9</v>
      </c>
      <c r="V24" s="7">
        <v>45.533333333333331</v>
      </c>
      <c r="W24" s="3">
        <v>30.65</v>
      </c>
      <c r="X24" s="3">
        <v>31.09</v>
      </c>
      <c r="Y24" s="3">
        <v>30.46</v>
      </c>
      <c r="Z24" s="7">
        <v>30.65</v>
      </c>
      <c r="AA24" s="3">
        <v>67.239999999999995</v>
      </c>
      <c r="AB24" s="3">
        <v>71.680000000000007</v>
      </c>
      <c r="AC24" s="3">
        <v>68.540000000000006</v>
      </c>
      <c r="AD24" s="7">
        <v>68.540000000000006</v>
      </c>
    </row>
    <row r="25" spans="1:30" ht="57.6">
      <c r="A25" s="4">
        <v>24</v>
      </c>
      <c r="B25" s="3" t="s">
        <v>30</v>
      </c>
      <c r="C25" s="2" t="s">
        <v>31</v>
      </c>
      <c r="D25" s="2" t="s">
        <v>32</v>
      </c>
      <c r="E25" s="2" t="s">
        <v>33</v>
      </c>
      <c r="F25" s="5">
        <v>46067</v>
      </c>
      <c r="G25" s="6">
        <v>0.51875000000000004</v>
      </c>
      <c r="H25" s="2" t="s">
        <v>34</v>
      </c>
      <c r="I25" s="2" t="s">
        <v>35</v>
      </c>
      <c r="J25" s="2" t="s">
        <v>40</v>
      </c>
      <c r="K25" s="3" t="s">
        <v>43</v>
      </c>
      <c r="L25" s="3">
        <v>10</v>
      </c>
      <c r="M25" s="3" t="s">
        <v>38</v>
      </c>
      <c r="N25" s="3" t="s">
        <v>42</v>
      </c>
      <c r="O25" s="3">
        <v>396</v>
      </c>
      <c r="P25" s="3">
        <v>395</v>
      </c>
      <c r="Q25" s="3">
        <v>393</v>
      </c>
      <c r="R25" s="7">
        <v>394.66666666666669</v>
      </c>
      <c r="S25" s="3">
        <v>51.8</v>
      </c>
      <c r="T25" s="3">
        <v>49.9</v>
      </c>
      <c r="U25" s="3">
        <v>50.4</v>
      </c>
      <c r="V25" s="7">
        <v>50.699999999999996</v>
      </c>
      <c r="W25" s="3">
        <v>22</v>
      </c>
      <c r="X25" s="3">
        <v>20.23</v>
      </c>
      <c r="Y25" s="3">
        <v>22.41</v>
      </c>
      <c r="Z25" s="7">
        <v>22</v>
      </c>
      <c r="AA25" s="3">
        <v>61.92</v>
      </c>
      <c r="AB25" s="3">
        <v>62.16</v>
      </c>
      <c r="AC25" s="3">
        <v>65.709999999999994</v>
      </c>
      <c r="AD25" s="7">
        <v>62.16</v>
      </c>
    </row>
    <row r="26" spans="1:30" ht="57.6">
      <c r="A26" s="4">
        <v>25</v>
      </c>
      <c r="B26" s="3" t="s">
        <v>30</v>
      </c>
      <c r="C26" s="2" t="s">
        <v>31</v>
      </c>
      <c r="D26" s="2" t="s">
        <v>32</v>
      </c>
      <c r="E26" s="2" t="s">
        <v>33</v>
      </c>
      <c r="F26" s="5">
        <v>46067</v>
      </c>
      <c r="G26" s="6">
        <v>0.52430555555555702</v>
      </c>
      <c r="H26" s="2" t="s">
        <v>34</v>
      </c>
      <c r="I26" s="2" t="s">
        <v>35</v>
      </c>
      <c r="J26" s="2" t="s">
        <v>40</v>
      </c>
      <c r="K26" s="3" t="s">
        <v>43</v>
      </c>
      <c r="L26" s="3">
        <v>12</v>
      </c>
      <c r="M26" s="3" t="s">
        <v>38</v>
      </c>
      <c r="N26" s="3" t="s">
        <v>42</v>
      </c>
      <c r="O26" s="3">
        <v>386</v>
      </c>
      <c r="P26" s="3">
        <v>389</v>
      </c>
      <c r="Q26" s="3">
        <v>389</v>
      </c>
      <c r="R26" s="7">
        <v>388</v>
      </c>
      <c r="S26" s="3">
        <v>56</v>
      </c>
      <c r="T26" s="3">
        <v>55</v>
      </c>
      <c r="U26" s="3">
        <v>56.7</v>
      </c>
      <c r="V26" s="7">
        <v>55.9</v>
      </c>
      <c r="W26" s="3">
        <v>39.299999999999997</v>
      </c>
      <c r="X26" s="3">
        <v>35.26</v>
      </c>
      <c r="Y26" s="3">
        <v>39.65</v>
      </c>
      <c r="Z26" s="7">
        <v>39.299999999999997</v>
      </c>
      <c r="AA26" s="3">
        <v>71.48</v>
      </c>
      <c r="AB26" s="3">
        <v>67.72</v>
      </c>
      <c r="AC26" s="3">
        <v>66.7</v>
      </c>
      <c r="AD26" s="7">
        <v>67.72</v>
      </c>
    </row>
    <row r="27" spans="1:30" ht="57.6">
      <c r="A27" s="4">
        <v>26</v>
      </c>
      <c r="B27" s="3" t="s">
        <v>30</v>
      </c>
      <c r="C27" s="2" t="s">
        <v>31</v>
      </c>
      <c r="D27" s="2" t="s">
        <v>32</v>
      </c>
      <c r="E27" s="2" t="s">
        <v>33</v>
      </c>
      <c r="F27" s="5">
        <v>46067</v>
      </c>
      <c r="G27" s="6">
        <v>0.53402777777777777</v>
      </c>
      <c r="H27" s="2" t="s">
        <v>34</v>
      </c>
      <c r="I27" s="2" t="s">
        <v>35</v>
      </c>
      <c r="J27" s="2" t="s">
        <v>40</v>
      </c>
      <c r="K27" s="3" t="s">
        <v>43</v>
      </c>
      <c r="L27" s="3">
        <v>10</v>
      </c>
      <c r="M27" s="3" t="s">
        <v>38</v>
      </c>
      <c r="N27" s="3" t="s">
        <v>42</v>
      </c>
      <c r="O27" s="3">
        <v>408</v>
      </c>
      <c r="P27" s="3">
        <v>404</v>
      </c>
      <c r="Q27" s="3">
        <v>408</v>
      </c>
      <c r="R27" s="7">
        <v>406.66666666666669</v>
      </c>
      <c r="S27" s="3">
        <v>38.299999999999997</v>
      </c>
      <c r="T27" s="3">
        <v>40</v>
      </c>
      <c r="U27" s="3">
        <v>39.799999999999997</v>
      </c>
      <c r="V27" s="7">
        <v>39.366666666666667</v>
      </c>
      <c r="W27" s="3">
        <v>24.58</v>
      </c>
      <c r="X27" s="3">
        <v>26.68</v>
      </c>
      <c r="Y27" s="3">
        <v>28.75</v>
      </c>
      <c r="Z27" s="7">
        <v>26.68</v>
      </c>
      <c r="AA27" s="3">
        <v>66.8</v>
      </c>
      <c r="AB27" s="3">
        <v>64.06</v>
      </c>
      <c r="AC27" s="3">
        <v>67.41</v>
      </c>
      <c r="AD27" s="7">
        <v>66.8</v>
      </c>
    </row>
    <row r="28" spans="1:30" ht="57.6">
      <c r="A28" s="4">
        <v>27</v>
      </c>
      <c r="B28" s="3" t="s">
        <v>30</v>
      </c>
      <c r="C28" s="2" t="s">
        <v>31</v>
      </c>
      <c r="D28" s="2" t="s">
        <v>32</v>
      </c>
      <c r="E28" s="2" t="s">
        <v>33</v>
      </c>
      <c r="F28" s="5">
        <v>46067</v>
      </c>
      <c r="G28" s="6">
        <v>0.53541666666666798</v>
      </c>
      <c r="H28" s="2" t="s">
        <v>34</v>
      </c>
      <c r="I28" s="2" t="s">
        <v>35</v>
      </c>
      <c r="J28" s="2" t="s">
        <v>44</v>
      </c>
      <c r="K28" s="2" t="s">
        <v>43</v>
      </c>
      <c r="L28" s="3">
        <v>12</v>
      </c>
      <c r="M28" s="2" t="s">
        <v>38</v>
      </c>
      <c r="N28" s="2" t="s">
        <v>42</v>
      </c>
      <c r="O28" s="3">
        <v>1195</v>
      </c>
      <c r="P28" s="3">
        <v>72</v>
      </c>
      <c r="Q28" s="3">
        <v>88</v>
      </c>
      <c r="R28" s="7">
        <f t="shared" ref="R28:R33" si="8">IF(COUNTA(O28:Q28)=0,"",AVERAGE(O28:Q28))</f>
        <v>451.66666666666669</v>
      </c>
      <c r="S28" s="3">
        <v>46</v>
      </c>
      <c r="T28" s="3">
        <v>44.5</v>
      </c>
      <c r="U28" s="3">
        <v>50.8</v>
      </c>
      <c r="V28" s="7">
        <f t="shared" ref="V28:V33" si="9">IF(COUNTA(S28:U28)=0,"",AVERAGE(S28:U28))</f>
        <v>47.1</v>
      </c>
      <c r="W28" s="3">
        <v>25.5</v>
      </c>
      <c r="X28" s="3">
        <v>62.6</v>
      </c>
      <c r="Y28" s="3">
        <v>9.66</v>
      </c>
      <c r="Z28" s="7">
        <f t="shared" ref="Z28:Z33" si="10">IF(COUNTA(W28:Y28)=0,"",MEDIAN(W28:Y28))</f>
        <v>25.5</v>
      </c>
      <c r="AA28" s="3">
        <v>68.599999999999994</v>
      </c>
      <c r="AB28" s="3">
        <v>69.400000000000006</v>
      </c>
      <c r="AC28" s="3">
        <v>71.5</v>
      </c>
      <c r="AD28" s="7">
        <f t="shared" ref="AD28:AD33" si="11">IF(COUNTA(AA28:AC28)=0,"",MEDIAN(AA28:AC28))</f>
        <v>69.400000000000006</v>
      </c>
    </row>
    <row r="29" spans="1:30" ht="57.6">
      <c r="A29" s="4">
        <v>28</v>
      </c>
      <c r="B29" s="3" t="s">
        <v>30</v>
      </c>
      <c r="C29" s="2" t="s">
        <v>31</v>
      </c>
      <c r="D29" s="2" t="s">
        <v>32</v>
      </c>
      <c r="E29" s="2" t="s">
        <v>33</v>
      </c>
      <c r="F29" s="5">
        <v>46067</v>
      </c>
      <c r="G29" s="6">
        <v>0.53819444444444442</v>
      </c>
      <c r="H29" s="2" t="s">
        <v>34</v>
      </c>
      <c r="I29" s="2" t="s">
        <v>35</v>
      </c>
      <c r="J29" s="2" t="s">
        <v>45</v>
      </c>
      <c r="K29" s="2" t="s">
        <v>46</v>
      </c>
      <c r="L29" s="3">
        <v>6</v>
      </c>
      <c r="M29" s="2" t="s">
        <v>38</v>
      </c>
      <c r="N29" s="2" t="s">
        <v>42</v>
      </c>
      <c r="O29" s="3">
        <v>701</v>
      </c>
      <c r="P29" s="3">
        <v>701</v>
      </c>
      <c r="Q29" s="3">
        <v>746</v>
      </c>
      <c r="R29" s="7">
        <f t="shared" si="8"/>
        <v>716</v>
      </c>
      <c r="S29" s="3">
        <v>62.2</v>
      </c>
      <c r="T29" s="3">
        <v>53.1</v>
      </c>
      <c r="U29" s="3">
        <v>52.9</v>
      </c>
      <c r="V29" s="7">
        <f t="shared" si="9"/>
        <v>56.06666666666667</v>
      </c>
      <c r="W29" s="3">
        <v>14</v>
      </c>
      <c r="X29" s="3">
        <v>20.8</v>
      </c>
      <c r="Y29" s="3">
        <v>12</v>
      </c>
      <c r="Z29" s="7">
        <f t="shared" si="10"/>
        <v>14</v>
      </c>
      <c r="AA29" s="3">
        <v>69.599999999999994</v>
      </c>
      <c r="AB29" s="3">
        <v>67.900000000000006</v>
      </c>
      <c r="AC29" s="3">
        <v>69.2</v>
      </c>
      <c r="AD29" s="7">
        <f t="shared" si="11"/>
        <v>69.2</v>
      </c>
    </row>
    <row r="30" spans="1:30" ht="57.6">
      <c r="A30" s="4">
        <v>29</v>
      </c>
      <c r="B30" s="3" t="s">
        <v>30</v>
      </c>
      <c r="C30" s="2" t="s">
        <v>31</v>
      </c>
      <c r="D30" s="2" t="s">
        <v>32</v>
      </c>
      <c r="E30" s="2" t="s">
        <v>33</v>
      </c>
      <c r="F30" s="5">
        <v>46067</v>
      </c>
      <c r="G30" s="6">
        <v>0.54652777777778005</v>
      </c>
      <c r="H30" s="2" t="s">
        <v>34</v>
      </c>
      <c r="I30" s="2" t="s">
        <v>35</v>
      </c>
      <c r="J30" s="2" t="s">
        <v>47</v>
      </c>
      <c r="K30" s="2" t="s">
        <v>48</v>
      </c>
      <c r="L30" s="3">
        <v>20</v>
      </c>
      <c r="M30" s="2" t="s">
        <v>49</v>
      </c>
      <c r="N30" s="2" t="s">
        <v>50</v>
      </c>
      <c r="O30" s="3">
        <v>542</v>
      </c>
      <c r="P30" s="3">
        <v>993</v>
      </c>
      <c r="Q30" s="3">
        <v>1764</v>
      </c>
      <c r="R30" s="7">
        <f t="shared" si="8"/>
        <v>1099.6666666666667</v>
      </c>
      <c r="S30" s="3">
        <v>78.3</v>
      </c>
      <c r="T30" s="3">
        <v>86.6</v>
      </c>
      <c r="U30" s="3">
        <v>88.6</v>
      </c>
      <c r="V30" s="7">
        <f t="shared" si="9"/>
        <v>84.499999999999986</v>
      </c>
      <c r="W30" s="3">
        <v>2.35</v>
      </c>
      <c r="X30" s="3">
        <v>28.8</v>
      </c>
      <c r="Y30" s="3">
        <v>18</v>
      </c>
      <c r="Z30" s="7">
        <f t="shared" si="10"/>
        <v>18</v>
      </c>
      <c r="AA30" s="3">
        <v>45.3</v>
      </c>
      <c r="AB30" s="3">
        <v>46.4</v>
      </c>
      <c r="AC30" s="3">
        <v>36.700000000000003</v>
      </c>
      <c r="AD30" s="7">
        <f t="shared" si="11"/>
        <v>45.3</v>
      </c>
    </row>
    <row r="31" spans="1:30" ht="57.6">
      <c r="A31" s="4">
        <v>30</v>
      </c>
      <c r="B31" s="3" t="s">
        <v>30</v>
      </c>
      <c r="C31" s="2" t="s">
        <v>31</v>
      </c>
      <c r="D31" s="2" t="s">
        <v>32</v>
      </c>
      <c r="E31" s="2" t="s">
        <v>33</v>
      </c>
      <c r="F31" s="5">
        <v>46067</v>
      </c>
      <c r="G31" s="6">
        <v>0.55208333333333703</v>
      </c>
      <c r="H31" s="2" t="s">
        <v>34</v>
      </c>
      <c r="I31" s="2" t="s">
        <v>35</v>
      </c>
      <c r="J31" s="2" t="s">
        <v>51</v>
      </c>
      <c r="K31" s="2" t="s">
        <v>52</v>
      </c>
      <c r="L31" s="3">
        <v>15</v>
      </c>
      <c r="M31" s="2" t="s">
        <v>38</v>
      </c>
      <c r="N31" s="2" t="s">
        <v>53</v>
      </c>
      <c r="O31" s="3">
        <v>70</v>
      </c>
      <c r="P31" s="3">
        <v>81</v>
      </c>
      <c r="Q31" s="3">
        <v>94</v>
      </c>
      <c r="R31" s="7">
        <f t="shared" si="8"/>
        <v>81.666666666666671</v>
      </c>
      <c r="S31" s="3">
        <v>61.8</v>
      </c>
      <c r="T31" s="3">
        <v>65.099999999999994</v>
      </c>
      <c r="U31" s="3">
        <v>56.9</v>
      </c>
      <c r="V31" s="7">
        <f t="shared" si="9"/>
        <v>61.266666666666659</v>
      </c>
      <c r="W31" s="3">
        <v>67.7</v>
      </c>
      <c r="X31" s="3">
        <v>0.94</v>
      </c>
      <c r="Y31" s="3">
        <v>8.3000000000000007</v>
      </c>
      <c r="Z31" s="7">
        <f t="shared" si="10"/>
        <v>8.3000000000000007</v>
      </c>
      <c r="AA31" s="3">
        <v>69.599999999999994</v>
      </c>
      <c r="AB31" s="3">
        <v>69.3</v>
      </c>
      <c r="AC31" s="3">
        <v>69.099999999999994</v>
      </c>
      <c r="AD31" s="7">
        <f t="shared" si="11"/>
        <v>69.3</v>
      </c>
    </row>
    <row r="32" spans="1:30" ht="57.6">
      <c r="A32" s="4">
        <v>31</v>
      </c>
      <c r="B32" s="3" t="s">
        <v>30</v>
      </c>
      <c r="C32" s="2" t="s">
        <v>31</v>
      </c>
      <c r="D32" s="2" t="s">
        <v>32</v>
      </c>
      <c r="E32" s="2" t="s">
        <v>33</v>
      </c>
      <c r="F32" s="5">
        <v>46067</v>
      </c>
      <c r="G32" s="6">
        <v>0.55555555555555558</v>
      </c>
      <c r="H32" s="2" t="s">
        <v>34</v>
      </c>
      <c r="I32" s="2" t="s">
        <v>35</v>
      </c>
      <c r="J32" s="2" t="s">
        <v>54</v>
      </c>
      <c r="K32" s="2" t="s">
        <v>55</v>
      </c>
      <c r="L32" s="3">
        <v>8</v>
      </c>
      <c r="M32" s="2" t="s">
        <v>38</v>
      </c>
      <c r="N32" s="2" t="s">
        <v>42</v>
      </c>
      <c r="O32" s="3">
        <v>526</v>
      </c>
      <c r="P32" s="3">
        <v>506</v>
      </c>
      <c r="Q32" s="3">
        <v>421</v>
      </c>
      <c r="R32" s="7">
        <f t="shared" si="8"/>
        <v>484.33333333333331</v>
      </c>
      <c r="S32" s="3">
        <v>71.099999999999994</v>
      </c>
      <c r="T32" s="3">
        <v>67</v>
      </c>
      <c r="U32" s="3">
        <v>71.400000000000006</v>
      </c>
      <c r="V32" s="7">
        <f t="shared" si="9"/>
        <v>69.833333333333329</v>
      </c>
      <c r="W32" s="3">
        <v>4.25</v>
      </c>
      <c r="X32" s="3">
        <v>9.7200000000000006</v>
      </c>
      <c r="Y32" s="3">
        <v>9.6999999999999993</v>
      </c>
      <c r="Z32" s="7">
        <f t="shared" si="10"/>
        <v>9.6999999999999993</v>
      </c>
      <c r="AA32" s="3">
        <v>126</v>
      </c>
      <c r="AB32" s="3">
        <v>126</v>
      </c>
      <c r="AC32" s="3">
        <v>120</v>
      </c>
      <c r="AD32" s="7">
        <f t="shared" si="11"/>
        <v>126</v>
      </c>
    </row>
    <row r="33" spans="1:30" ht="57.6">
      <c r="A33" s="4">
        <v>32</v>
      </c>
      <c r="B33" s="3" t="s">
        <v>30</v>
      </c>
      <c r="C33" s="2" t="s">
        <v>31</v>
      </c>
      <c r="D33" s="2" t="s">
        <v>32</v>
      </c>
      <c r="E33" s="2" t="s">
        <v>33</v>
      </c>
      <c r="F33" s="5">
        <v>46067</v>
      </c>
      <c r="G33" s="6">
        <v>0.56319444444444899</v>
      </c>
      <c r="H33" s="2" t="s">
        <v>34</v>
      </c>
      <c r="I33" s="2" t="s">
        <v>35</v>
      </c>
      <c r="J33" s="2" t="s">
        <v>56</v>
      </c>
      <c r="K33" s="2" t="s">
        <v>57</v>
      </c>
      <c r="L33" s="3">
        <v>16</v>
      </c>
      <c r="M33" s="2" t="s">
        <v>49</v>
      </c>
      <c r="N33" s="2" t="s">
        <v>58</v>
      </c>
      <c r="O33" s="3">
        <v>81</v>
      </c>
      <c r="P33" s="3">
        <v>105</v>
      </c>
      <c r="Q33" s="3">
        <v>199</v>
      </c>
      <c r="R33" s="7">
        <f t="shared" si="8"/>
        <v>128.33333333333334</v>
      </c>
      <c r="S33" s="3">
        <v>71.3</v>
      </c>
      <c r="T33" s="3">
        <v>75.099999999999994</v>
      </c>
      <c r="U33" s="3">
        <v>74.900000000000006</v>
      </c>
      <c r="V33" s="7">
        <f t="shared" si="9"/>
        <v>73.766666666666666</v>
      </c>
      <c r="W33" s="3">
        <v>49.4</v>
      </c>
      <c r="X33" s="3">
        <v>2.95</v>
      </c>
      <c r="Y33" s="3">
        <v>31.2</v>
      </c>
      <c r="Z33" s="7">
        <f t="shared" si="10"/>
        <v>31.2</v>
      </c>
      <c r="AA33" s="3">
        <v>68.099999999999994</v>
      </c>
      <c r="AB33" s="3">
        <v>68</v>
      </c>
      <c r="AC33" s="3">
        <v>62.2</v>
      </c>
      <c r="AD33" s="7">
        <f t="shared" si="11"/>
        <v>68</v>
      </c>
    </row>
    <row r="34" spans="1:30" ht="57.6">
      <c r="A34" s="4">
        <v>33</v>
      </c>
      <c r="B34" s="3" t="s">
        <v>30</v>
      </c>
      <c r="C34" s="2" t="s">
        <v>31</v>
      </c>
      <c r="D34" s="2" t="s">
        <v>32</v>
      </c>
      <c r="E34" s="2" t="s">
        <v>33</v>
      </c>
      <c r="F34" s="5">
        <v>46067</v>
      </c>
      <c r="G34" s="6">
        <v>0.56875000000000497</v>
      </c>
      <c r="H34" s="2" t="s">
        <v>34</v>
      </c>
      <c r="I34" s="2" t="s">
        <v>35</v>
      </c>
      <c r="J34" s="2" t="s">
        <v>56</v>
      </c>
      <c r="K34" s="3" t="s">
        <v>41</v>
      </c>
      <c r="L34" s="3">
        <v>9</v>
      </c>
      <c r="M34" s="3" t="s">
        <v>38</v>
      </c>
      <c r="N34" s="3" t="s">
        <v>42</v>
      </c>
      <c r="O34" s="3">
        <v>265</v>
      </c>
      <c r="P34" s="3">
        <v>268</v>
      </c>
      <c r="Q34" s="3">
        <v>271</v>
      </c>
      <c r="R34" s="7">
        <v>268</v>
      </c>
      <c r="S34" s="3">
        <v>52.1</v>
      </c>
      <c r="T34" s="3">
        <v>51.8</v>
      </c>
      <c r="U34" s="3">
        <v>52.2</v>
      </c>
      <c r="V34" s="7">
        <v>52.033333333333339</v>
      </c>
      <c r="W34" s="3">
        <v>8.76</v>
      </c>
      <c r="X34" s="3">
        <v>6.58</v>
      </c>
      <c r="Y34" s="3">
        <v>5.32</v>
      </c>
      <c r="Z34" s="7">
        <v>6.58</v>
      </c>
      <c r="AA34" s="3">
        <v>39.380000000000003</v>
      </c>
      <c r="AB34" s="3">
        <v>38.03</v>
      </c>
      <c r="AC34" s="3">
        <v>40.24</v>
      </c>
      <c r="AD34" s="7">
        <v>39.380000000000003</v>
      </c>
    </row>
    <row r="35" spans="1:30" ht="57.6">
      <c r="A35" s="4">
        <v>34</v>
      </c>
      <c r="B35" s="3" t="s">
        <v>30</v>
      </c>
      <c r="C35" s="2" t="s">
        <v>31</v>
      </c>
      <c r="D35" s="2" t="s">
        <v>32</v>
      </c>
      <c r="E35" s="2" t="s">
        <v>33</v>
      </c>
      <c r="F35" s="5">
        <v>46067</v>
      </c>
      <c r="G35" s="6">
        <v>0.57430555555556095</v>
      </c>
      <c r="H35" s="2" t="s">
        <v>34</v>
      </c>
      <c r="I35" s="2" t="s">
        <v>35</v>
      </c>
      <c r="J35" s="2" t="s">
        <v>56</v>
      </c>
      <c r="K35" s="3" t="s">
        <v>41</v>
      </c>
      <c r="L35" s="3">
        <v>10</v>
      </c>
      <c r="M35" s="3" t="s">
        <v>38</v>
      </c>
      <c r="N35" s="3" t="s">
        <v>42</v>
      </c>
      <c r="O35" s="3">
        <v>264</v>
      </c>
      <c r="P35" s="3">
        <v>264</v>
      </c>
      <c r="Q35" s="3">
        <v>267</v>
      </c>
      <c r="R35" s="7">
        <v>265</v>
      </c>
      <c r="S35" s="3">
        <v>41.8</v>
      </c>
      <c r="T35" s="3">
        <v>42</v>
      </c>
      <c r="U35" s="3">
        <v>43.5</v>
      </c>
      <c r="V35" s="7">
        <v>42.43333333333333</v>
      </c>
      <c r="W35" s="3">
        <v>15.89</v>
      </c>
      <c r="X35" s="3">
        <v>16.66</v>
      </c>
      <c r="Y35" s="3">
        <v>16.350000000000001</v>
      </c>
      <c r="Z35" s="7">
        <v>16.350000000000001</v>
      </c>
      <c r="AA35" s="3">
        <v>52.59</v>
      </c>
      <c r="AB35" s="3">
        <v>54.73</v>
      </c>
      <c r="AC35" s="3">
        <v>52.1</v>
      </c>
      <c r="AD35" s="7">
        <v>52.59</v>
      </c>
    </row>
    <row r="36" spans="1:30" ht="57.6">
      <c r="A36" s="4">
        <v>35</v>
      </c>
      <c r="B36" s="3" t="s">
        <v>30</v>
      </c>
      <c r="C36" s="2" t="s">
        <v>31</v>
      </c>
      <c r="D36" s="2" t="s">
        <v>32</v>
      </c>
      <c r="E36" s="2" t="s">
        <v>33</v>
      </c>
      <c r="F36" s="5">
        <v>46067</v>
      </c>
      <c r="G36" s="6">
        <v>0.57777777777777772</v>
      </c>
      <c r="H36" s="2" t="s">
        <v>34</v>
      </c>
      <c r="I36" s="2" t="s">
        <v>35</v>
      </c>
      <c r="J36" s="2" t="s">
        <v>56</v>
      </c>
      <c r="K36" s="3" t="s">
        <v>41</v>
      </c>
      <c r="L36" s="3">
        <v>9</v>
      </c>
      <c r="M36" s="3" t="s">
        <v>38</v>
      </c>
      <c r="N36" s="3" t="s">
        <v>42</v>
      </c>
      <c r="O36" s="3">
        <v>259</v>
      </c>
      <c r="P36" s="3">
        <v>260</v>
      </c>
      <c r="Q36" s="3">
        <v>262</v>
      </c>
      <c r="R36" s="7">
        <v>260.33333333333331</v>
      </c>
      <c r="S36" s="3">
        <v>48.1</v>
      </c>
      <c r="T36" s="3">
        <v>49.5</v>
      </c>
      <c r="U36" s="3">
        <v>49</v>
      </c>
      <c r="V36" s="7">
        <v>48.866666666666667</v>
      </c>
      <c r="W36" s="3">
        <v>3.55</v>
      </c>
      <c r="X36" s="3">
        <v>6.21</v>
      </c>
      <c r="Y36" s="3">
        <v>5.28</v>
      </c>
      <c r="Z36" s="7">
        <v>5.28</v>
      </c>
      <c r="AA36" s="3">
        <v>39.880000000000003</v>
      </c>
      <c r="AB36" s="3">
        <v>36.9</v>
      </c>
      <c r="AC36" s="3">
        <v>35.81</v>
      </c>
      <c r="AD36" s="7">
        <v>36.9</v>
      </c>
    </row>
    <row r="37" spans="1:30" ht="57.6">
      <c r="A37" s="4">
        <v>36</v>
      </c>
      <c r="B37" s="3" t="s">
        <v>30</v>
      </c>
      <c r="C37" s="2" t="s">
        <v>31</v>
      </c>
      <c r="D37" s="2" t="s">
        <v>32</v>
      </c>
      <c r="E37" s="2" t="s">
        <v>33</v>
      </c>
      <c r="F37" s="5">
        <v>46067</v>
      </c>
      <c r="G37" s="6">
        <v>0.58541666666667302</v>
      </c>
      <c r="H37" s="2" t="s">
        <v>34</v>
      </c>
      <c r="I37" s="2" t="s">
        <v>35</v>
      </c>
      <c r="J37" s="2" t="s">
        <v>56</v>
      </c>
      <c r="K37" s="3" t="s">
        <v>41</v>
      </c>
      <c r="L37" s="3">
        <v>9</v>
      </c>
      <c r="M37" s="3" t="s">
        <v>38</v>
      </c>
      <c r="N37" s="3" t="s">
        <v>42</v>
      </c>
      <c r="O37" s="3">
        <v>272</v>
      </c>
      <c r="P37" s="3">
        <v>277</v>
      </c>
      <c r="Q37" s="3">
        <v>276</v>
      </c>
      <c r="R37" s="7">
        <v>275</v>
      </c>
      <c r="S37" s="3">
        <v>49.7</v>
      </c>
      <c r="T37" s="3">
        <v>50.3</v>
      </c>
      <c r="U37" s="3">
        <v>49.1</v>
      </c>
      <c r="V37" s="7">
        <v>49.699999999999996</v>
      </c>
      <c r="W37" s="3">
        <v>1.82</v>
      </c>
      <c r="X37" s="3">
        <v>3.63</v>
      </c>
      <c r="Y37" s="3">
        <v>5.41</v>
      </c>
      <c r="Z37" s="7">
        <v>3.63</v>
      </c>
      <c r="AA37" s="3">
        <v>42.29</v>
      </c>
      <c r="AB37" s="3">
        <v>42.44</v>
      </c>
      <c r="AC37" s="3">
        <v>39.46</v>
      </c>
      <c r="AD37" s="7">
        <v>42.29</v>
      </c>
    </row>
    <row r="38" spans="1:30" ht="57.6">
      <c r="A38" s="4">
        <v>37</v>
      </c>
      <c r="B38" s="3" t="s">
        <v>30</v>
      </c>
      <c r="C38" s="2" t="s">
        <v>31</v>
      </c>
      <c r="D38" s="2" t="s">
        <v>32</v>
      </c>
      <c r="E38" s="2" t="s">
        <v>33</v>
      </c>
      <c r="F38" s="5">
        <v>46067</v>
      </c>
      <c r="G38" s="6">
        <v>0.590972222222229</v>
      </c>
      <c r="H38" s="2" t="s">
        <v>34</v>
      </c>
      <c r="I38" s="2" t="s">
        <v>35</v>
      </c>
      <c r="J38" s="2" t="s">
        <v>56</v>
      </c>
      <c r="K38" s="3" t="s">
        <v>41</v>
      </c>
      <c r="L38" s="3">
        <v>9</v>
      </c>
      <c r="M38" s="3" t="s">
        <v>38</v>
      </c>
      <c r="N38" s="3" t="s">
        <v>42</v>
      </c>
      <c r="O38" s="3">
        <v>262</v>
      </c>
      <c r="P38" s="3">
        <v>262</v>
      </c>
      <c r="Q38" s="3">
        <v>270</v>
      </c>
      <c r="R38" s="7">
        <v>264.66666666666669</v>
      </c>
      <c r="S38" s="3">
        <v>45.8</v>
      </c>
      <c r="T38" s="3">
        <v>46</v>
      </c>
      <c r="U38" s="3">
        <v>48.9</v>
      </c>
      <c r="V38" s="7">
        <v>46.9</v>
      </c>
      <c r="W38" s="3">
        <v>9.85</v>
      </c>
      <c r="X38" s="3">
        <v>1.69</v>
      </c>
      <c r="Y38" s="3">
        <v>3.3</v>
      </c>
      <c r="Z38" s="7">
        <v>3.3</v>
      </c>
      <c r="AA38" s="3">
        <v>43.51</v>
      </c>
      <c r="AB38" s="3">
        <v>46.29</v>
      </c>
      <c r="AC38" s="3">
        <v>40.85</v>
      </c>
      <c r="AD38" s="7">
        <v>43.51</v>
      </c>
    </row>
    <row r="39" spans="1:30" ht="57.6">
      <c r="A39" s="4">
        <v>38</v>
      </c>
      <c r="B39" s="3" t="s">
        <v>30</v>
      </c>
      <c r="C39" s="2" t="s">
        <v>31</v>
      </c>
      <c r="D39" s="2" t="s">
        <v>32</v>
      </c>
      <c r="E39" s="2" t="s">
        <v>33</v>
      </c>
      <c r="F39" s="5">
        <v>46067</v>
      </c>
      <c r="G39" s="6">
        <v>0.59652777777778498</v>
      </c>
      <c r="H39" s="2" t="s">
        <v>34</v>
      </c>
      <c r="I39" s="2" t="s">
        <v>35</v>
      </c>
      <c r="J39" s="2" t="s">
        <v>56</v>
      </c>
      <c r="K39" s="3" t="s">
        <v>41</v>
      </c>
      <c r="L39" s="3">
        <v>13</v>
      </c>
      <c r="M39" s="3" t="s">
        <v>38</v>
      </c>
      <c r="N39" s="3" t="s">
        <v>42</v>
      </c>
      <c r="O39" s="3">
        <v>260</v>
      </c>
      <c r="P39" s="3">
        <v>257</v>
      </c>
      <c r="Q39" s="3">
        <v>260</v>
      </c>
      <c r="R39" s="7">
        <v>259</v>
      </c>
      <c r="S39" s="3">
        <v>55.6</v>
      </c>
      <c r="T39" s="3">
        <v>53.9</v>
      </c>
      <c r="U39" s="3">
        <v>56.6</v>
      </c>
      <c r="V39" s="7">
        <v>55.366666666666667</v>
      </c>
      <c r="W39" s="3">
        <v>15.81</v>
      </c>
      <c r="X39" s="3">
        <v>15.96</v>
      </c>
      <c r="Y39" s="3">
        <v>14.88</v>
      </c>
      <c r="Z39" s="7">
        <v>15.81</v>
      </c>
      <c r="AA39" s="3">
        <v>35.08</v>
      </c>
      <c r="AB39" s="3">
        <v>37.24</v>
      </c>
      <c r="AC39" s="3">
        <v>36.01</v>
      </c>
      <c r="AD39" s="7">
        <v>36.01</v>
      </c>
    </row>
    <row r="40" spans="1:30" ht="57.6">
      <c r="A40" s="4">
        <v>39</v>
      </c>
      <c r="B40" s="3" t="s">
        <v>30</v>
      </c>
      <c r="C40" s="2" t="s">
        <v>31</v>
      </c>
      <c r="D40" s="2" t="s">
        <v>32</v>
      </c>
      <c r="E40" s="2" t="s">
        <v>33</v>
      </c>
      <c r="F40" s="5">
        <v>46067</v>
      </c>
      <c r="G40" s="6">
        <v>0.6</v>
      </c>
      <c r="H40" s="2" t="s">
        <v>34</v>
      </c>
      <c r="I40" s="2" t="s">
        <v>35</v>
      </c>
      <c r="J40" s="2" t="s">
        <v>56</v>
      </c>
      <c r="K40" s="3" t="s">
        <v>41</v>
      </c>
      <c r="L40" s="3">
        <v>13</v>
      </c>
      <c r="M40" s="3" t="s">
        <v>38</v>
      </c>
      <c r="N40" s="3" t="s">
        <v>42</v>
      </c>
      <c r="O40" s="3">
        <v>265</v>
      </c>
      <c r="P40" s="3">
        <v>262</v>
      </c>
      <c r="Q40" s="3">
        <v>265</v>
      </c>
      <c r="R40" s="7">
        <v>264</v>
      </c>
      <c r="S40" s="3">
        <v>58.7</v>
      </c>
      <c r="T40" s="3">
        <v>58.2</v>
      </c>
      <c r="U40" s="3">
        <v>58.7</v>
      </c>
      <c r="V40" s="7">
        <v>58.533333333333339</v>
      </c>
      <c r="W40" s="3">
        <v>10.61</v>
      </c>
      <c r="X40" s="3">
        <v>10.86</v>
      </c>
      <c r="Y40" s="3">
        <v>6.84</v>
      </c>
      <c r="Z40" s="7">
        <v>10.61</v>
      </c>
      <c r="AA40" s="3">
        <v>36.24</v>
      </c>
      <c r="AB40" s="3">
        <v>38.07</v>
      </c>
      <c r="AC40" s="3">
        <v>34.22</v>
      </c>
      <c r="AD40" s="7">
        <v>36.24</v>
      </c>
    </row>
    <row r="41" spans="1:30" ht="57.6">
      <c r="A41" s="4">
        <v>40</v>
      </c>
      <c r="B41" s="3" t="s">
        <v>30</v>
      </c>
      <c r="C41" s="2" t="s">
        <v>31</v>
      </c>
      <c r="D41" s="2" t="s">
        <v>32</v>
      </c>
      <c r="E41" s="2" t="s">
        <v>33</v>
      </c>
      <c r="F41" s="5">
        <v>46067</v>
      </c>
      <c r="G41" s="6">
        <v>0.60763888888889706</v>
      </c>
      <c r="H41" s="2" t="s">
        <v>34</v>
      </c>
      <c r="I41" s="2" t="s">
        <v>35</v>
      </c>
      <c r="J41" s="2" t="s">
        <v>56</v>
      </c>
      <c r="K41" s="3" t="s">
        <v>41</v>
      </c>
      <c r="L41" s="3">
        <v>11</v>
      </c>
      <c r="M41" s="3" t="s">
        <v>38</v>
      </c>
      <c r="N41" s="3" t="s">
        <v>42</v>
      </c>
      <c r="O41" s="3">
        <v>256</v>
      </c>
      <c r="P41" s="3">
        <v>258</v>
      </c>
      <c r="Q41" s="3">
        <v>260</v>
      </c>
      <c r="R41" s="7">
        <v>258</v>
      </c>
      <c r="S41" s="3">
        <v>53</v>
      </c>
      <c r="T41" s="3">
        <v>55.2</v>
      </c>
      <c r="U41" s="3">
        <v>54.4</v>
      </c>
      <c r="V41" s="7">
        <v>54.199999999999996</v>
      </c>
      <c r="W41" s="3">
        <v>2.33</v>
      </c>
      <c r="X41" s="3">
        <v>4.95</v>
      </c>
      <c r="Y41" s="3">
        <v>3.44</v>
      </c>
      <c r="Z41" s="7">
        <v>3.44</v>
      </c>
      <c r="AA41" s="3">
        <v>34.78</v>
      </c>
      <c r="AB41" s="3">
        <v>35.72</v>
      </c>
      <c r="AC41" s="3">
        <v>36.590000000000003</v>
      </c>
      <c r="AD41" s="7">
        <v>35.72</v>
      </c>
    </row>
    <row r="42" spans="1:30" ht="57.6">
      <c r="A42" s="4">
        <v>41</v>
      </c>
      <c r="B42" s="3" t="s">
        <v>30</v>
      </c>
      <c r="C42" s="2" t="s">
        <v>31</v>
      </c>
      <c r="D42" s="2" t="s">
        <v>32</v>
      </c>
      <c r="E42" s="2" t="s">
        <v>33</v>
      </c>
      <c r="F42" s="5">
        <v>46067</v>
      </c>
      <c r="G42" s="6">
        <v>0.61319444444445403</v>
      </c>
      <c r="H42" s="2" t="s">
        <v>34</v>
      </c>
      <c r="I42" s="2" t="s">
        <v>35</v>
      </c>
      <c r="J42" s="2" t="s">
        <v>56</v>
      </c>
      <c r="K42" s="3" t="s">
        <v>41</v>
      </c>
      <c r="L42" s="3">
        <v>11</v>
      </c>
      <c r="M42" s="3" t="s">
        <v>38</v>
      </c>
      <c r="N42" s="3" t="s">
        <v>42</v>
      </c>
      <c r="O42" s="3">
        <v>266</v>
      </c>
      <c r="P42" s="3">
        <v>269</v>
      </c>
      <c r="Q42" s="3">
        <v>266</v>
      </c>
      <c r="R42" s="7">
        <v>267</v>
      </c>
      <c r="S42" s="3">
        <v>46.6</v>
      </c>
      <c r="T42" s="3">
        <v>45.9</v>
      </c>
      <c r="U42" s="3">
        <v>45.8</v>
      </c>
      <c r="V42" s="7">
        <v>46.1</v>
      </c>
      <c r="W42" s="3">
        <v>6.89</v>
      </c>
      <c r="X42" s="3">
        <v>9.31</v>
      </c>
      <c r="Y42" s="3">
        <v>6.75</v>
      </c>
      <c r="Z42" s="7">
        <v>6.89</v>
      </c>
      <c r="AA42" s="3">
        <v>57.62</v>
      </c>
      <c r="AB42" s="3">
        <v>58.46</v>
      </c>
      <c r="AC42" s="3">
        <v>57.02</v>
      </c>
      <c r="AD42" s="7">
        <v>57.62</v>
      </c>
    </row>
    <row r="43" spans="1:30" ht="57.6">
      <c r="A43" s="4">
        <v>42</v>
      </c>
      <c r="B43" s="3" t="s">
        <v>30</v>
      </c>
      <c r="C43" s="2" t="s">
        <v>31</v>
      </c>
      <c r="D43" s="2" t="s">
        <v>32</v>
      </c>
      <c r="E43" s="2" t="s">
        <v>33</v>
      </c>
      <c r="F43" s="5">
        <v>46067</v>
      </c>
      <c r="G43" s="6">
        <v>0.61875000000001001</v>
      </c>
      <c r="H43" s="2" t="s">
        <v>34</v>
      </c>
      <c r="I43" s="2" t="s">
        <v>35</v>
      </c>
      <c r="J43" s="2" t="s">
        <v>56</v>
      </c>
      <c r="K43" s="3" t="s">
        <v>41</v>
      </c>
      <c r="L43" s="3">
        <v>13</v>
      </c>
      <c r="M43" s="3" t="s">
        <v>38</v>
      </c>
      <c r="N43" s="3" t="s">
        <v>42</v>
      </c>
      <c r="O43" s="3">
        <v>262</v>
      </c>
      <c r="P43" s="3">
        <v>259</v>
      </c>
      <c r="Q43" s="3">
        <v>260</v>
      </c>
      <c r="R43" s="7">
        <v>260.33333333333331</v>
      </c>
      <c r="S43" s="3">
        <v>51.5</v>
      </c>
      <c r="T43" s="3">
        <v>51.1</v>
      </c>
      <c r="U43" s="3">
        <v>49.4</v>
      </c>
      <c r="V43" s="7">
        <v>50.666666666666664</v>
      </c>
      <c r="W43" s="3">
        <v>10.09</v>
      </c>
      <c r="X43" s="3">
        <v>7.17</v>
      </c>
      <c r="Y43" s="3">
        <v>12.01</v>
      </c>
      <c r="Z43" s="7">
        <v>10.09</v>
      </c>
      <c r="AA43" s="3">
        <v>38.979999999999997</v>
      </c>
      <c r="AB43" s="3">
        <v>35.01</v>
      </c>
      <c r="AC43" s="3">
        <v>33.020000000000003</v>
      </c>
      <c r="AD43" s="7">
        <v>35.01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navarro rodriguez</dc:creator>
  <cp:keywords/>
  <dc:description/>
  <cp:lastModifiedBy>Usuario invitado</cp:lastModifiedBy>
  <cp:revision/>
  <dcterms:created xsi:type="dcterms:W3CDTF">2026-02-16T23:21:36Z</dcterms:created>
  <dcterms:modified xsi:type="dcterms:W3CDTF">2026-02-16T23:30:29Z</dcterms:modified>
  <cp:category/>
  <cp:contentStatus/>
</cp:coreProperties>
</file>